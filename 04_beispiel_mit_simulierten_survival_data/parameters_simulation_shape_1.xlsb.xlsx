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an\meine_Repos\Masterarbeit\04_beispiel_mit_simulierten_survival_data\"/>
    </mc:Choice>
  </mc:AlternateContent>
  <xr:revisionPtr revIDLastSave="0" documentId="13_ncr:1_{D793E9E5-76EE-47C7-B1FE-5C79E0EC2271}" xr6:coauthVersionLast="47" xr6:coauthVersionMax="47" xr10:uidLastSave="{00000000-0000-0000-0000-000000000000}"/>
  <bookViews>
    <workbookView xWindow="-18120" yWindow="-4980" windowWidth="18240" windowHeight="28320" activeTab="1" xr2:uid="{A9158FE8-4C15-45A2-AFBE-76AC3C37AE55}"/>
  </bookViews>
  <sheets>
    <sheet name="Tabelle1" sheetId="1" r:id="rId1"/>
    <sheet name="Tabelle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25" i="2"/>
  <c r="F26" i="2"/>
  <c r="F23" i="2"/>
  <c r="F22" i="2"/>
  <c r="F17" i="2"/>
  <c r="F16" i="2"/>
  <c r="F20" i="2" s="1"/>
  <c r="F10" i="2"/>
  <c r="F12" i="2" s="1"/>
  <c r="F4" i="2"/>
  <c r="F8" i="2" s="1"/>
  <c r="F13" i="1"/>
  <c r="F12" i="1"/>
  <c r="F11" i="1"/>
  <c r="F4" i="1"/>
  <c r="F5" i="1" s="1"/>
  <c r="F9" i="1"/>
  <c r="F10" i="1"/>
  <c r="F11" i="2" l="1"/>
  <c r="F13" i="2"/>
  <c r="F19" i="2"/>
  <c r="F14" i="2"/>
  <c r="F18" i="2"/>
  <c r="F5" i="2"/>
  <c r="F6" i="2"/>
  <c r="F7" i="2"/>
  <c r="F8" i="1"/>
  <c r="F7" i="1"/>
  <c r="F6" i="1"/>
</calcChain>
</file>

<file path=xl/sharedStrings.xml><?xml version="1.0" encoding="utf-8"?>
<sst xmlns="http://schemas.openxmlformats.org/spreadsheetml/2006/main" count="29" uniqueCount="28">
  <si>
    <t>cens_rate</t>
  </si>
  <si>
    <t>events_rate</t>
  </si>
  <si>
    <t>tau = 40
params_data_creation = { 'shape_weibull': 1, 'scale_weibull_base': 20_000, 'rate_censoring': 0.0096,
                        'b_bloodp': -0.405, 'b_diab': -0.4, 'b_age': -0.05, 'b_bmi': -0.01, 'b_kreat': -0.2, 
                        'n': n, 'seed': seed, 'tau': tau}</t>
  </si>
  <si>
    <t>tau = 46
params_data_creation = { 'shape_weibull': 1, 'scale_weibull_base': 5800, 'rate_censoring': 0.0102,
                        'b_bloodp': -0.405, 'b_diab': -0.4, 'b_age': -0.05, 'b_bmi': -0.01, 'b_kreat': -0.2, 
                        'n': n, 'seed': seed, 'tau': tau}</t>
  </si>
  <si>
    <t>tau = 65
params_data_creation = { 'shape_weibull': 1, 'scale_weibull_base': 3330, 'rate_censoring': 0.0098,
                        'b_bloodp': -0.405, 'b_diab': -0.4, 'b_age': -0.05, 'b_bmi': -0.01, 'b_kreat': -0.2, 
                        'n': n, 'seed': seed, 'tau': tau}</t>
  </si>
  <si>
    <t>tau = 37
params_data_creation = { 'shape_weibull': 1, 'scale_weibull_base': 21_650, 'rate_censoring': 0.003,
                        'b_bloodp': -0.405, 'b_diab': -0.4, 'b_age': -0.05, 'b_bmi': -0.01, 'b_kreat': -0.2, 
                        'n': n, 'seed': seed, 'tau': tau}</t>
  </si>
  <si>
    <t>tau = 37
params_data_creation = { 'shape_weibull': 1, 'scale_weibull_base': 5_700, 'rate_censoring': 0.0035,
                        'b_bloodp': -0.405, 'b_diab': -0.4, 'b_age': -0.05, 'b_bmi': -0.01, 'b_kreat': -0.2, 
                        'n': n, 'seed': seed, 'tau': tau}</t>
  </si>
  <si>
    <t>tau = 37
params_data_creation = { 'shape_weibull': 1, 'scale_weibull_base': 2600, 'rate_censoring': 0.0042,
                        'b_bloodp': -0.405, 'b_diab': -0.4, 'b_age': -0.05, 'b_bmi': -0.01, 'b_kreat': -0.2, 
                        'n': n, 'seed': seed, 'tau': tau}</t>
  </si>
  <si>
    <t>tau = 37
params_data_creation = { 'shape_weibull': 1, 'scale_weibull_base': 1240, 'rate_censoring': 0.0058,
                        'b_bloodp': -0.405, 'b_diab': -0.4, 'b_age': -0.05, 'b_bmi': -0.01, 'b_kreat': -0.2, 
                        'n': n, 'seed': seed, 'tau': tau}</t>
  </si>
  <si>
    <t>tau = 42
params_data_creation = { 'shape_weibull': 1, 'scale_weibull_base': 17_700, 'rate_censoring': 0.0183,
                        'b_bloodp': -0.405, 'b_diab': -0.4, 'b_age': -0.05, 'b_bmi': -0.01, 'b_kreat': -0.2, 
                        'n': n, 'seed': seed, 'tau': tau}</t>
  </si>
  <si>
    <t>events_rate / (events_rate + no_events_rate)</t>
  </si>
  <si>
    <t>tau = 37
params_data_creation = { 'shape_weibull': 1, 'scale_weibull_base': 24_300, 'rate_censoring': 0.003,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</si>
  <si>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 12463.811039838654   , 
                        'rate_censoring': 0.010725364504143705  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</si>
  <si>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 5122.0241237382925    , 
                        'rate_censoring':  0.012470507897824007  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</si>
  <si>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'scale_weibull_base':7500     , 
                        'rate_censoring':  0.011600103696876245    ,
                        'b_bloodp': -0.405, 'b_diab': -0.4, 'b_age': -0.05, 'b_bmi': -0.01, 'b_kreat': -0.2, 
                        'n': n, 'seed': seed, 'tau': tau}</t>
  </si>
  <si>
    <t xml:space="preserve">
tau = 37
params_data_creation = { 'shape_weibull': 1, 
                        'scale_weibull_base':   28000   , 
                        'rate_censoring': 0.01,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</si>
  <si>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 4453.164150258696    , 
                        'rate_censoring': 0.003624326851330594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</si>
  <si>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6539.41883092019  , 
                        'rate_censoring':0.0033904243453215187,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</si>
  <si>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10803.76159628643   , 
                        'rate_censoring':0.003170578469623819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</si>
  <si>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15800      , 
                        'rate_censoring':  0.02052170406791234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</si>
  <si>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34000     , 
                        'rate_censoring':  0.019578490533008537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</si>
  <si>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9600      , 
                        'rate_censoring':  0.0218  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</si>
  <si>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6600       , 
                        'rate_censoring':  00.022901136686777616   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</si>
  <si>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45_000       , 
                        'rate_censoring':  0.034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</si>
  <si>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21700       , 
                        'rate_censoring':  0.0352   ,
                        'b_bloodp': -0.405, 'b_diab': -0.4, 'b_age': -0.05, 'b_bmi': -0.01, 'b_kreat': -0.2, 
                        'n': n, 'seed': seed, 'tau': tau}</t>
  </si>
  <si>
    <t>tau = 37
params_data_creation = { 'shape_weibull': 1, 
                        'scale_weibull_base': 13_000       , 
                        'rate_censoring':  0.0375   ,
                        'b_bloodp': -0.405, 'b_diab': -0.4, 'b_age': -0.05, 'b_bmi': -0.01, 'b_kreat': -0.2, 
                        'n': n, 'seed': seed, 'tau': tau}</t>
  </si>
  <si>
    <t xml:space="preserve">n   = </t>
  </si>
  <si>
    <t>tau = 37
params_data_creation =                  { 'shape_weibull': 1, 
                        'scale_weibull_base': 9115.851814783131        , 
                        'rate_censoring':  0.04021055606963396   ,
                        'b_bloodp': -0.405, 'b_diab': -0.4, 'b_age': -0.05, 'b_bmi': -0.01, 'b_kreat': -0.2, 
                        'n': n, 'seed': seed, 'tau': tau}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</si>
</sst>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10" xfId="0" applyBorder="1"/>
    <xf numFmtId="0" fontId="0" fillId="0" borderId="11" xfId="0" applyBorder="1" applyAlignment="1">
      <alignment wrapText="1"/>
    </xf>
    <xf numFmtId="164" fontId="0" fillId="0" borderId="0" xfId="1" applyNumberFormat="1" applyFont="1"/>
    <xf numFmtId="164" fontId="0" fillId="0" borderId="0" xfId="1" applyNumberFormat="1" applyFont="1" applyFill="1" applyBorder="1"/>
    <xf numFmtId="0" fontId="0" fillId="0" borderId="0" xfId="1" applyNumberFormat="1" applyFont="1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2" xfId="0" applyFill="1" applyBorder="1" applyAlignment="1">
      <alignment wrapText="1"/>
    </xf>
    <xf numFmtId="164" fontId="0" fillId="2" borderId="0" xfId="1" applyNumberFormat="1" applyFont="1" applyFill="1"/>
    <xf numFmtId="0" fontId="0" fillId="2" borderId="3" xfId="0" applyFill="1" applyBorder="1"/>
    <xf numFmtId="0" fontId="0" fillId="2" borderId="11" xfId="0" applyFill="1" applyBorder="1" applyAlignment="1">
      <alignment wrapText="1"/>
    </xf>
    <xf numFmtId="0" fontId="0" fillId="2" borderId="8" xfId="0" applyFill="1" applyBorder="1"/>
    <xf numFmtId="0" fontId="0" fillId="2" borderId="4" xfId="0" applyFill="1" applyBorder="1" applyAlignment="1">
      <alignment wrapText="1"/>
    </xf>
    <xf numFmtId="0" fontId="0" fillId="2" borderId="5" xfId="0" applyFill="1" applyBorder="1"/>
    <xf numFmtId="0" fontId="0" fillId="2" borderId="1" xfId="0" applyFill="1" applyBorder="1" applyAlignment="1">
      <alignment wrapText="1"/>
    </xf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1AC1-747E-41BC-92B4-340E1417BCFD}">
  <dimension ref="C3:F20"/>
  <sheetViews>
    <sheetView topLeftCell="A2" workbookViewId="0">
      <selection activeCell="D3" sqref="D3"/>
    </sheetView>
  </sheetViews>
  <sheetFormatPr baseColWidth="10" defaultRowHeight="14.4" x14ac:dyDescent="0.3"/>
  <cols>
    <col min="5" max="5" width="91" customWidth="1"/>
  </cols>
  <sheetData>
    <row r="3" spans="3:6" x14ac:dyDescent="0.3">
      <c r="C3" t="s">
        <v>0</v>
      </c>
      <c r="D3" t="s">
        <v>1</v>
      </c>
    </row>
    <row r="4" spans="3:6" ht="27.9" customHeight="1" thickBot="1" x14ac:dyDescent="0.35">
      <c r="F4">
        <f>1-C5/100</f>
        <v>0.9</v>
      </c>
    </row>
    <row r="5" spans="3:6" ht="79.8" customHeight="1" thickBot="1" x14ac:dyDescent="0.35">
      <c r="C5" s="9">
        <v>10</v>
      </c>
      <c r="D5" s="6">
        <v>10</v>
      </c>
      <c r="E5" s="2" t="s">
        <v>5</v>
      </c>
      <c r="F5" s="13">
        <f>$F$4*D5/100</f>
        <v>0.09</v>
      </c>
    </row>
    <row r="6" spans="3:6" ht="72.599999999999994" thickBot="1" x14ac:dyDescent="0.35">
      <c r="C6" s="3"/>
      <c r="D6" s="9">
        <v>30</v>
      </c>
      <c r="E6" s="12" t="s">
        <v>6</v>
      </c>
      <c r="F6" s="13">
        <f>$F$4*D6/100</f>
        <v>0.27</v>
      </c>
    </row>
    <row r="7" spans="3:6" ht="72.599999999999994" thickBot="1" x14ac:dyDescent="0.35">
      <c r="C7" s="3"/>
      <c r="D7" s="7">
        <v>50</v>
      </c>
      <c r="E7" s="4" t="s">
        <v>7</v>
      </c>
      <c r="F7" s="13">
        <f>$F$4*D7/100</f>
        <v>0.45</v>
      </c>
    </row>
    <row r="8" spans="3:6" ht="72.599999999999994" thickBot="1" x14ac:dyDescent="0.35">
      <c r="C8" s="5"/>
      <c r="D8" s="9">
        <v>70</v>
      </c>
      <c r="E8" s="12" t="s">
        <v>8</v>
      </c>
      <c r="F8" s="13">
        <f>$F$4*D8/100</f>
        <v>0.63</v>
      </c>
    </row>
    <row r="9" spans="3:6" ht="15" thickBot="1" x14ac:dyDescent="0.35">
      <c r="F9" s="15">
        <f>(100-C10)/100</f>
        <v>0.7</v>
      </c>
    </row>
    <row r="10" spans="3:6" ht="72.599999999999994" thickBot="1" x14ac:dyDescent="0.35">
      <c r="C10" s="11">
        <v>30</v>
      </c>
      <c r="D10" s="9">
        <v>10</v>
      </c>
      <c r="E10" s="12" t="s">
        <v>2</v>
      </c>
      <c r="F10" s="14">
        <f>$F$9*D10/100</f>
        <v>7.0000000000000007E-2</v>
      </c>
    </row>
    <row r="11" spans="3:6" ht="72.599999999999994" thickBot="1" x14ac:dyDescent="0.35">
      <c r="C11" s="3"/>
      <c r="D11" s="7">
        <v>30</v>
      </c>
      <c r="E11" s="4" t="s">
        <v>3</v>
      </c>
      <c r="F11" s="14">
        <f>$F$9*D11/100</f>
        <v>0.21</v>
      </c>
    </row>
    <row r="12" spans="3:6" ht="72.599999999999994" thickBot="1" x14ac:dyDescent="0.35">
      <c r="C12" s="3"/>
      <c r="D12" s="9">
        <v>50</v>
      </c>
      <c r="E12" s="12" t="s">
        <v>4</v>
      </c>
      <c r="F12" s="14">
        <f>$F$9*D12/100</f>
        <v>0.35</v>
      </c>
    </row>
    <row r="13" spans="3:6" ht="15" thickBot="1" x14ac:dyDescent="0.35">
      <c r="C13" s="5"/>
      <c r="D13" s="8">
        <v>70</v>
      </c>
      <c r="E13" s="10"/>
      <c r="F13" s="14">
        <f>$F$9*D13/100</f>
        <v>0.49</v>
      </c>
    </row>
    <row r="15" spans="3:6" ht="72" x14ac:dyDescent="0.3">
      <c r="C15">
        <v>50</v>
      </c>
      <c r="D15">
        <v>10</v>
      </c>
      <c r="E15" s="1" t="s">
        <v>9</v>
      </c>
    </row>
    <row r="16" spans="3:6" x14ac:dyDescent="0.3">
      <c r="D16">
        <v>30</v>
      </c>
    </row>
    <row r="17" spans="3:5" x14ac:dyDescent="0.3">
      <c r="E17" s="1"/>
    </row>
    <row r="20" spans="3:5" x14ac:dyDescent="0.3">
      <c r="C20">
        <v>70</v>
      </c>
      <c r="D20">
        <v>10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E627-6F7C-4466-B497-718A4C378B66}">
  <dimension ref="C3:M26"/>
  <sheetViews>
    <sheetView tabSelected="1" topLeftCell="A18" workbookViewId="0">
      <selection activeCell="C23" sqref="C23"/>
    </sheetView>
  </sheetViews>
  <sheetFormatPr baseColWidth="10" defaultRowHeight="14.4" x14ac:dyDescent="0.3"/>
  <cols>
    <col min="5" max="5" width="91" customWidth="1"/>
  </cols>
  <sheetData>
    <row r="3" spans="3:13" x14ac:dyDescent="0.3">
      <c r="C3" t="s">
        <v>0</v>
      </c>
      <c r="D3" t="s">
        <v>10</v>
      </c>
    </row>
    <row r="4" spans="3:13" ht="27.9" customHeight="1" thickBot="1" x14ac:dyDescent="0.35">
      <c r="F4">
        <f>1-C5/100</f>
        <v>0.9</v>
      </c>
      <c r="I4" t="s">
        <v>26</v>
      </c>
      <c r="J4">
        <v>500</v>
      </c>
      <c r="K4">
        <v>1000</v>
      </c>
      <c r="L4">
        <v>2000</v>
      </c>
      <c r="M4">
        <v>4000</v>
      </c>
    </row>
    <row r="5" spans="3:13" ht="79.8" customHeight="1" thickBot="1" x14ac:dyDescent="0.35">
      <c r="C5" s="16">
        <v>10</v>
      </c>
      <c r="D5" s="17">
        <v>10</v>
      </c>
      <c r="E5" s="25" t="s">
        <v>11</v>
      </c>
      <c r="F5" s="19">
        <f>$F$4*D5/100</f>
        <v>0.09</v>
      </c>
      <c r="G5">
        <v>8.99</v>
      </c>
      <c r="H5">
        <v>10.01</v>
      </c>
    </row>
    <row r="6" spans="3:13" ht="101.4" thickBot="1" x14ac:dyDescent="0.35">
      <c r="C6" s="20"/>
      <c r="D6" s="16">
        <v>20</v>
      </c>
      <c r="E6" s="21" t="s">
        <v>18</v>
      </c>
      <c r="F6" s="19">
        <f>$F$4*D6/100</f>
        <v>0.18</v>
      </c>
      <c r="G6">
        <v>18.23</v>
      </c>
      <c r="H6">
        <v>9.9700000000000006</v>
      </c>
    </row>
    <row r="7" spans="3:13" ht="101.4" thickBot="1" x14ac:dyDescent="0.35">
      <c r="C7" s="20"/>
      <c r="D7" s="22">
        <v>30</v>
      </c>
      <c r="E7" s="23" t="s">
        <v>17</v>
      </c>
      <c r="F7" s="19">
        <f>$F$4*D7/100</f>
        <v>0.27</v>
      </c>
      <c r="G7">
        <v>27.13</v>
      </c>
      <c r="H7">
        <v>9.99</v>
      </c>
    </row>
    <row r="8" spans="3:13" ht="101.4" thickBot="1" x14ac:dyDescent="0.35">
      <c r="C8" s="24"/>
      <c r="D8" s="16">
        <v>40</v>
      </c>
      <c r="E8" s="21" t="s">
        <v>16</v>
      </c>
      <c r="F8" s="19">
        <f>$F$4*D8/100</f>
        <v>0.36</v>
      </c>
      <c r="G8">
        <v>35.78</v>
      </c>
      <c r="H8">
        <v>9.9499999999999993</v>
      </c>
    </row>
    <row r="9" spans="3:13" x14ac:dyDescent="0.3">
      <c r="F9" s="15"/>
    </row>
    <row r="10" spans="3:13" ht="15" thickBot="1" x14ac:dyDescent="0.35">
      <c r="F10">
        <f>1-C11/100</f>
        <v>0.7</v>
      </c>
    </row>
    <row r="11" spans="3:13" ht="115.8" thickBot="1" x14ac:dyDescent="0.35">
      <c r="C11" s="16">
        <v>30</v>
      </c>
      <c r="D11" s="17">
        <v>10</v>
      </c>
      <c r="E11" s="18" t="s">
        <v>15</v>
      </c>
      <c r="F11" s="19">
        <f>$F$10*D11/100</f>
        <v>7.0000000000000007E-2</v>
      </c>
      <c r="G11">
        <v>6.98</v>
      </c>
      <c r="H11">
        <v>29.72</v>
      </c>
    </row>
    <row r="12" spans="3:13" ht="101.4" thickBot="1" x14ac:dyDescent="0.35">
      <c r="C12" s="20"/>
      <c r="D12" s="16">
        <v>20</v>
      </c>
      <c r="E12" s="21" t="s">
        <v>12</v>
      </c>
      <c r="F12" s="19">
        <f>$F$10*D12/100</f>
        <v>0.14000000000000001</v>
      </c>
      <c r="G12">
        <v>14.24</v>
      </c>
      <c r="H12">
        <v>30.03</v>
      </c>
    </row>
    <row r="13" spans="3:13" ht="101.4" thickBot="1" x14ac:dyDescent="0.35">
      <c r="C13" s="20"/>
      <c r="D13" s="22">
        <v>30</v>
      </c>
      <c r="E13" s="23" t="s">
        <v>14</v>
      </c>
      <c r="F13" s="19">
        <f>$F$10*D13/100</f>
        <v>0.21</v>
      </c>
      <c r="G13">
        <v>21.37</v>
      </c>
      <c r="H13">
        <v>30.37</v>
      </c>
    </row>
    <row r="14" spans="3:13" ht="101.4" thickBot="1" x14ac:dyDescent="0.35">
      <c r="C14" s="24"/>
      <c r="D14" s="16">
        <v>40</v>
      </c>
      <c r="E14" s="21" t="s">
        <v>13</v>
      </c>
      <c r="F14" s="19">
        <f>$F$10*D14/100</f>
        <v>0.28000000000000003</v>
      </c>
      <c r="G14">
        <v>28.25</v>
      </c>
      <c r="H14">
        <v>30.4</v>
      </c>
    </row>
    <row r="16" spans="3:13" ht="15" thickBot="1" x14ac:dyDescent="0.35">
      <c r="F16">
        <f>1-C17/100</f>
        <v>0.5</v>
      </c>
    </row>
    <row r="17" spans="3:8" ht="101.4" thickBot="1" x14ac:dyDescent="0.35">
      <c r="C17" s="16">
        <v>50</v>
      </c>
      <c r="D17" s="17">
        <v>10</v>
      </c>
      <c r="E17" s="18" t="s">
        <v>20</v>
      </c>
      <c r="F17" s="19">
        <f>$F$16*D17/100</f>
        <v>0.05</v>
      </c>
      <c r="G17">
        <v>4.97</v>
      </c>
      <c r="H17">
        <v>50.01</v>
      </c>
    </row>
    <row r="18" spans="3:8" ht="101.4" thickBot="1" x14ac:dyDescent="0.35">
      <c r="C18" s="20"/>
      <c r="D18" s="16">
        <v>20</v>
      </c>
      <c r="E18" s="21" t="s">
        <v>19</v>
      </c>
      <c r="F18" s="19">
        <f>$F$16*D18/100</f>
        <v>0.1</v>
      </c>
      <c r="G18">
        <v>9.93</v>
      </c>
      <c r="H18">
        <v>49.86</v>
      </c>
    </row>
    <row r="19" spans="3:8" ht="101.4" thickBot="1" x14ac:dyDescent="0.35">
      <c r="C19" s="20"/>
      <c r="D19" s="22">
        <v>30</v>
      </c>
      <c r="E19" s="23" t="s">
        <v>21</v>
      </c>
      <c r="F19" s="19">
        <f>$F$16*D19/100</f>
        <v>0.15</v>
      </c>
      <c r="G19">
        <v>14.96</v>
      </c>
      <c r="H19">
        <v>49.92</v>
      </c>
    </row>
    <row r="20" spans="3:8" ht="101.4" thickBot="1" x14ac:dyDescent="0.35">
      <c r="C20" s="24"/>
      <c r="D20" s="16">
        <v>40</v>
      </c>
      <c r="E20" s="21" t="s">
        <v>22</v>
      </c>
      <c r="F20" s="19">
        <f>$F$16*D20/100</f>
        <v>0.2</v>
      </c>
      <c r="G20">
        <v>19.96</v>
      </c>
      <c r="H20">
        <v>49.44</v>
      </c>
    </row>
    <row r="22" spans="3:8" ht="15" thickBot="1" x14ac:dyDescent="0.35">
      <c r="F22">
        <f>1-C23/100</f>
        <v>0.30000000000000004</v>
      </c>
    </row>
    <row r="23" spans="3:8" ht="101.4" thickBot="1" x14ac:dyDescent="0.35">
      <c r="C23" s="16">
        <v>70</v>
      </c>
      <c r="D23" s="17">
        <v>10</v>
      </c>
      <c r="E23" s="18" t="s">
        <v>23</v>
      </c>
      <c r="F23" s="19">
        <f>$F$22*D23/100</f>
        <v>3.0000000000000006E-2</v>
      </c>
      <c r="G23" s="26">
        <v>3.0499999999999999E-2</v>
      </c>
      <c r="H23">
        <v>70.03</v>
      </c>
    </row>
    <row r="24" spans="3:8" ht="101.4" thickBot="1" x14ac:dyDescent="0.35">
      <c r="C24" s="3"/>
      <c r="D24" s="16">
        <v>20</v>
      </c>
      <c r="E24" s="21" t="s">
        <v>24</v>
      </c>
      <c r="F24" s="19">
        <f>$F$22*D24/100</f>
        <v>6.0000000000000012E-2</v>
      </c>
      <c r="G24" s="26">
        <v>0.06</v>
      </c>
      <c r="H24">
        <v>69.680000000000007</v>
      </c>
    </row>
    <row r="25" spans="3:8" ht="101.4" thickBot="1" x14ac:dyDescent="0.35">
      <c r="C25" s="3"/>
      <c r="D25" s="22">
        <v>30</v>
      </c>
      <c r="E25" s="23" t="s">
        <v>25</v>
      </c>
      <c r="F25" s="19">
        <f>$F$22*D25/100</f>
        <v>9.0000000000000024E-2</v>
      </c>
      <c r="G25" s="26">
        <v>9.2499999999999999E-2</v>
      </c>
      <c r="H25">
        <v>69.930000000000007</v>
      </c>
    </row>
    <row r="26" spans="3:8" ht="101.4" thickBot="1" x14ac:dyDescent="0.35">
      <c r="C26" s="5"/>
      <c r="D26" s="16">
        <v>40</v>
      </c>
      <c r="E26" s="21" t="s">
        <v>27</v>
      </c>
      <c r="F26" s="19">
        <f>$F$22*D26/100</f>
        <v>0.12000000000000002</v>
      </c>
      <c r="G26" s="26">
        <v>0.1196</v>
      </c>
      <c r="H26">
        <v>70.25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Butt</dc:creator>
  <cp:lastModifiedBy>Rehan Butt</cp:lastModifiedBy>
  <dcterms:created xsi:type="dcterms:W3CDTF">2024-09-08T05:39:55Z</dcterms:created>
  <dcterms:modified xsi:type="dcterms:W3CDTF">2024-09-26T11:35:45Z</dcterms:modified>
</cp:coreProperties>
</file>